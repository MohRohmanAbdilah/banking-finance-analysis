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53\EXCELCNV\8345cd42-5314-4325-b573-2288c672b60c\"/>
    </mc:Choice>
  </mc:AlternateContent>
  <xr:revisionPtr revIDLastSave="0" documentId="8_{F1561401-A7A4-4223-AB1D-732C445DB122}" xr6:coauthVersionLast="47" xr6:coauthVersionMax="47" xr10:uidLastSave="{00000000-0000-0000-0000-000000000000}"/>
  <bookViews>
    <workbookView xWindow="-60" yWindow="-60" windowWidth="15480" windowHeight="11640" firstSheet="1" activeTab="1" xr2:uid="{45A63B78-43AA-4A75-AF35-A65449D7DA54}"/>
  </bookViews>
  <sheets>
    <sheet name="Pivot_Tables" sheetId="2" r:id="rId1"/>
    <sheet name="Final_Dashboard" sheetId="3" r:id="rId2"/>
    <sheet name="Cleaned_SQL_Export" sheetId="1" r:id="rId3"/>
  </sheets>
  <calcPr calcId="191028"/>
  <pivotCaches>
    <pivotCache cacheId="667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J2" i="1"/>
  <c r="C3" i="3"/>
  <c r="I4" i="1"/>
  <c r="I3" i="1"/>
  <c r="I2" i="1"/>
</calcChain>
</file>

<file path=xl/sharedStrings.xml><?xml version="1.0" encoding="utf-8"?>
<sst xmlns="http://schemas.openxmlformats.org/spreadsheetml/2006/main" count="82" uniqueCount="27">
  <si>
    <t>Average of avg_transaction_value</t>
  </si>
  <si>
    <t>card_brand</t>
  </si>
  <si>
    <t>card_type</t>
  </si>
  <si>
    <t>Amex</t>
  </si>
  <si>
    <t>Discover</t>
  </si>
  <si>
    <t>Mastercard</t>
  </si>
  <si>
    <t>Visa</t>
  </si>
  <si>
    <t>Grand Total</t>
  </si>
  <si>
    <t>Credit</t>
  </si>
  <si>
    <t>Debit</t>
  </si>
  <si>
    <t>Debit (Prepaid)</t>
  </si>
  <si>
    <t>Average of limit_utilization</t>
  </si>
  <si>
    <t>Total Transaction Count</t>
  </si>
  <si>
    <t>Error Rate (%)</t>
  </si>
  <si>
    <t>Credit Total</t>
  </si>
  <si>
    <t>Debit Total</t>
  </si>
  <si>
    <t>Debit (Prepaid) Total</t>
  </si>
  <si>
    <t>Sum of avg_dti_ratio</t>
  </si>
  <si>
    <t>Banking Performance &amp; Risk Control Dashboard</t>
  </si>
  <si>
    <t>avg_transaction_value</t>
  </si>
  <si>
    <t>error_rate_percentage</t>
  </si>
  <si>
    <t>avg_credit_score</t>
  </si>
  <si>
    <t>avg_dti_ratio</t>
  </si>
  <si>
    <t>limit_utilization</t>
  </si>
  <si>
    <t>total_transaction_count</t>
  </si>
  <si>
    <t>Credit Score Range</t>
  </si>
  <si>
    <t>Total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</si>
</sst>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9" fillId="34" borderId="10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/>
    </xf>
    <xf numFmtId="0" fontId="18" fillId="33" borderId="21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18" fillId="33" borderId="22" xfId="0" applyFont="1" applyFill="1" applyBorder="1" applyAlignment="1">
      <alignment horizontal="center" vertical="center"/>
    </xf>
    <xf numFmtId="43" fontId="18" fillId="33" borderId="15" xfId="0" applyNumberFormat="1" applyFont="1" applyFill="1" applyBorder="1" applyAlignment="1">
      <alignment horizontal="center" vertical="center"/>
    </xf>
    <xf numFmtId="43" fontId="18" fillId="33" borderId="21" xfId="0" applyNumberFormat="1" applyFont="1" applyFill="1" applyBorder="1" applyAlignment="1">
      <alignment horizontal="center" vertical="center"/>
    </xf>
    <xf numFmtId="43" fontId="18" fillId="33" borderId="16" xfId="0" applyNumberFormat="1" applyFont="1" applyFill="1" applyBorder="1" applyAlignment="1">
      <alignment horizontal="center" vertical="center"/>
    </xf>
    <xf numFmtId="43" fontId="18" fillId="33" borderId="17" xfId="0" applyNumberFormat="1" applyFont="1" applyFill="1" applyBorder="1" applyAlignment="1">
      <alignment horizontal="center" vertical="center"/>
    </xf>
    <xf numFmtId="43" fontId="18" fillId="33" borderId="22" xfId="0" applyNumberFormat="1" applyFont="1" applyFill="1" applyBorder="1" applyAlignment="1">
      <alignment horizontal="center" vertical="center"/>
    </xf>
    <xf numFmtId="43" fontId="18" fillId="33" borderId="18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Transaction Value (USD) by Card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Pivot_Tables!$B$3:$B$4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Pivot_Tables!$B$5:$B$8</c:f>
              <c:numCache>
                <c:formatCode>General</c:formatCode>
                <c:ptCount val="3"/>
                <c:pt idx="0">
                  <c:v>50.72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12-4845-80E0-DD0D1EA604BE}"/>
            </c:ext>
          </c:extLst>
        </c:ser>
        <c:ser>
          <c:idx val="1"/>
          <c:order val="1"/>
          <c:tx>
            <c:strRef>
              <c:f>Pivot_Tables!$C$3:$C$4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Pivot_Tables!$C$5:$C$8</c:f>
              <c:numCache>
                <c:formatCode>General</c:formatCode>
                <c:ptCount val="3"/>
                <c:pt idx="0">
                  <c:v>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F12-4845-80E0-DD0D1EA604BE}"/>
            </c:ext>
          </c:extLst>
        </c:ser>
        <c:ser>
          <c:idx val="2"/>
          <c:order val="2"/>
          <c:tx>
            <c:strRef>
              <c:f>Pivot_Tables!$D$3:$D$4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Pivot_Tables!$D$5:$D$8</c:f>
              <c:numCache>
                <c:formatCode>General</c:formatCode>
                <c:ptCount val="3"/>
                <c:pt idx="0">
                  <c:v>49.56</c:v>
                </c:pt>
                <c:pt idx="1">
                  <c:v>39.03</c:v>
                </c:pt>
                <c:pt idx="2">
                  <c:v>19.920000000000002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12-4845-80E0-DD0D1EA604BE}"/>
            </c:ext>
          </c:extLst>
        </c:ser>
        <c:ser>
          <c:idx val="3"/>
          <c:order val="3"/>
          <c:tx>
            <c:strRef>
              <c:f>Pivot_Tables!$E$3:$E$4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Pivot_Tables!$E$5:$E$8</c:f>
              <c:numCache>
                <c:formatCode>General</c:formatCode>
                <c:ptCount val="3"/>
                <c:pt idx="0">
                  <c:v>53.85</c:v>
                </c:pt>
                <c:pt idx="1">
                  <c:v>39.270000000000003</c:v>
                </c:pt>
                <c:pt idx="2">
                  <c:v>20.12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12-4845-80E0-DD0D1EA60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509564936"/>
        <c:axId val="607122952"/>
      </c:barChart>
      <c:catAx>
        <c:axId val="5095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22952"/>
        <c:crosses val="autoZero"/>
        <c:auto val="1"/>
        <c:lblAlgn val="ctr"/>
        <c:lblOffset val="100"/>
        <c:noMultiLvlLbl val="0"/>
      </c:catAx>
      <c:valAx>
        <c:axId val="607122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95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Limit Utilization Rate (%)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noFill/>
          </a:ln>
          <a:effectLst/>
        </c:spPr>
      </c:pivotFmt>
      <c:pivotFmt>
        <c:idx val="5"/>
        <c:spPr>
          <a:solidFill>
            <a:srgbClr val="305496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  <c:pivotFmt>
        <c:idx val="10"/>
        <c:spPr>
          <a:solidFill>
            <a:srgbClr val="FFC000"/>
          </a:solidFill>
          <a:ln>
            <a:noFill/>
          </a:ln>
          <a:effectLst/>
        </c:spPr>
      </c:pivotFmt>
      <c:pivotFmt>
        <c:idx val="11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Pivot_Tables!$B$12:$B$13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Pivot_Tables!$B$14:$B$17</c:f>
              <c:numCache>
                <c:formatCode>General</c:formatCode>
                <c:ptCount val="3"/>
                <c:pt idx="1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39-4941-8CF0-9A0EC108B56B}"/>
            </c:ext>
          </c:extLst>
        </c:ser>
        <c:ser>
          <c:idx val="1"/>
          <c:order val="1"/>
          <c:tx>
            <c:strRef>
              <c:f>Pivot_Tables!$C$12:$C$13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Pivot_Tables!$C$14:$C$17</c:f>
              <c:numCache>
                <c:formatCode>General</c:formatCode>
                <c:ptCount val="3"/>
                <c:pt idx="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39-4941-8CF0-9A0EC108B56B}"/>
            </c:ext>
          </c:extLst>
        </c:ser>
        <c:ser>
          <c:idx val="2"/>
          <c:order val="2"/>
          <c:tx>
            <c:strRef>
              <c:f>Pivot_Tables!$D$12:$D$13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A4-4669-93C3-20A74A68366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37C-4707-82D9-41CAEFE55F9F}"/>
              </c:ext>
            </c:extLst>
          </c:dPt>
          <c:dPt>
            <c:idx val="2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78-4F7A-BE17-594234A72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Pivot_Tables!$D$14:$D$17</c:f>
              <c:numCache>
                <c:formatCode>General</c:formatCode>
                <c:ptCount val="3"/>
                <c:pt idx="0">
                  <c:v>0.21</c:v>
                </c:pt>
                <c:pt idx="1">
                  <c:v>0.43</c:v>
                </c:pt>
                <c:pt idx="2">
                  <c:v>29.47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A39-4941-8CF0-9A0EC108B56B}"/>
            </c:ext>
          </c:extLst>
        </c:ser>
        <c:ser>
          <c:idx val="3"/>
          <c:order val="3"/>
          <c:tx>
            <c:strRef>
              <c:f>Pivot_Tables!$E$12:$E$13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B8-47CA-A231-3C458D81C6D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78-4F7A-BE17-594234A72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Pivot_Tables!$E$14:$E$17</c:f>
              <c:numCache>
                <c:formatCode>General</c:formatCode>
                <c:ptCount val="3"/>
                <c:pt idx="0">
                  <c:v>0.21</c:v>
                </c:pt>
                <c:pt idx="1">
                  <c:v>0.43</c:v>
                </c:pt>
                <c:pt idx="2">
                  <c:v>30.88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39-4941-8CF0-9A0EC108B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3"/>
        <c:overlap val="-30"/>
        <c:axId val="327216648"/>
        <c:axId val="453841416"/>
      </c:barChart>
      <c:catAx>
        <c:axId val="327216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416"/>
        <c:crosses val="autoZero"/>
        <c:auto val="1"/>
        <c:lblAlgn val="ctr"/>
        <c:lblOffset val="100"/>
        <c:noMultiLvlLbl val="0"/>
      </c:catAx>
      <c:valAx>
        <c:axId val="453841416"/>
        <c:scaling>
          <c:orientation val="minMax"/>
          <c:max val="35"/>
        </c:scaling>
        <c:delete val="1"/>
        <c:axPos val="b"/>
        <c:numFmt formatCode="General" sourceLinked="1"/>
        <c:majorTickMark val="none"/>
        <c:minorTickMark val="none"/>
        <c:tickLblPos val="nextTo"/>
        <c:crossAx val="3272166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Health Monitor: Transaction Volume vs.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Pivot_Tables!$C$23</c:f>
              <c:strCache>
                <c:ptCount val="1"/>
                <c:pt idx="0">
                  <c:v>Total Transaction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Pivot_Tables!$A$24:$B$35</c:f>
              <c:multiLvlStrCache>
                <c:ptCount val="8"/>
                <c:lvl>
                  <c:pt idx="0">
                    <c:v>Amex</c:v>
                  </c:pt>
                  <c:pt idx="1">
                    <c:v>Discover</c:v>
                  </c:pt>
                  <c:pt idx="2">
                    <c:v>Mastercard</c:v>
                  </c:pt>
                  <c:pt idx="3">
                    <c:v>Visa</c:v>
                  </c:pt>
                  <c:pt idx="4">
                    <c:v>Mastercard</c:v>
                  </c:pt>
                  <c:pt idx="5">
                    <c:v>Visa</c:v>
                  </c:pt>
                  <c:pt idx="6">
                    <c:v>Mastercard</c:v>
                  </c:pt>
                  <c:pt idx="7">
                    <c:v>Visa</c:v>
                  </c:pt>
                </c:lvl>
                <c:lvl>
                  <c:pt idx="0">
                    <c:v>Credit</c:v>
                  </c:pt>
                  <c:pt idx="4">
                    <c:v>Debit</c:v>
                  </c:pt>
                  <c:pt idx="6">
                    <c:v>Debit (Prepaid)</c:v>
                  </c:pt>
                </c:lvl>
              </c:multiLvlStrCache>
            </c:multiLvlStrRef>
          </c:cat>
          <c:val>
            <c:numRef>
              <c:f>Pivot_Tables!$C$24:$C$35</c:f>
              <c:numCache>
                <c:formatCode>General</c:formatCode>
                <c:ptCount val="8"/>
                <c:pt idx="0">
                  <c:v>9974</c:v>
                </c:pt>
                <c:pt idx="1">
                  <c:v>3744</c:v>
                </c:pt>
                <c:pt idx="2">
                  <c:v>14196</c:v>
                </c:pt>
                <c:pt idx="3">
                  <c:v>17311</c:v>
                </c:pt>
                <c:pt idx="4">
                  <c:v>56284</c:v>
                </c:pt>
                <c:pt idx="5">
                  <c:v>33756</c:v>
                </c:pt>
                <c:pt idx="6">
                  <c:v>7008</c:v>
                </c:pt>
                <c:pt idx="7">
                  <c:v>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FA-44AB-AFBF-FF913FF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axId val="820886536"/>
        <c:axId val="1490366984"/>
      </c:barChart>
      <c:lineChart>
        <c:grouping val="standard"/>
        <c:varyColors val="0"/>
        <c:ser>
          <c:idx val="1"/>
          <c:order val="1"/>
          <c:tx>
            <c:strRef>
              <c:f>Pivot_Tables!$D$23</c:f>
              <c:strCache>
                <c:ptCount val="1"/>
                <c:pt idx="0">
                  <c:v>Error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Pivot_Tables!$A$24:$B$35</c:f>
              <c:multiLvlStrCache>
                <c:ptCount val="8"/>
                <c:lvl>
                  <c:pt idx="0">
                    <c:v>Amex</c:v>
                  </c:pt>
                  <c:pt idx="1">
                    <c:v>Discover</c:v>
                  </c:pt>
                  <c:pt idx="2">
                    <c:v>Mastercard</c:v>
                  </c:pt>
                  <c:pt idx="3">
                    <c:v>Visa</c:v>
                  </c:pt>
                  <c:pt idx="4">
                    <c:v>Mastercard</c:v>
                  </c:pt>
                  <c:pt idx="5">
                    <c:v>Visa</c:v>
                  </c:pt>
                  <c:pt idx="6">
                    <c:v>Mastercard</c:v>
                  </c:pt>
                  <c:pt idx="7">
                    <c:v>Visa</c:v>
                  </c:pt>
                </c:lvl>
                <c:lvl>
                  <c:pt idx="0">
                    <c:v>Credit</c:v>
                  </c:pt>
                  <c:pt idx="4">
                    <c:v>Debit</c:v>
                  </c:pt>
                  <c:pt idx="6">
                    <c:v>Debit (Prepaid)</c:v>
                  </c:pt>
                </c:lvl>
              </c:multiLvlStrCache>
            </c:multiLvlStrRef>
          </c:cat>
          <c:val>
            <c:numRef>
              <c:f>Pivot_Tables!$D$24:$D$35</c:f>
              <c:numCache>
                <c:formatCode>General</c:formatCode>
                <c:ptCount val="8"/>
                <c:pt idx="0">
                  <c:v>1.25</c:v>
                </c:pt>
                <c:pt idx="1">
                  <c:v>1.18</c:v>
                </c:pt>
                <c:pt idx="2">
                  <c:v>1.39</c:v>
                </c:pt>
                <c:pt idx="3">
                  <c:v>1.42</c:v>
                </c:pt>
                <c:pt idx="4">
                  <c:v>1.51</c:v>
                </c:pt>
                <c:pt idx="5">
                  <c:v>1.66</c:v>
                </c:pt>
                <c:pt idx="6">
                  <c:v>0.96</c:v>
                </c:pt>
                <c:pt idx="7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C-471A-A8F5-0FEFCB6D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225288"/>
        <c:axId val="1267889160"/>
      </c:lineChart>
      <c:catAx>
        <c:axId val="82088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6984"/>
        <c:crosses val="autoZero"/>
        <c:auto val="1"/>
        <c:lblAlgn val="ctr"/>
        <c:lblOffset val="100"/>
        <c:noMultiLvlLbl val="0"/>
      </c:catAx>
      <c:valAx>
        <c:axId val="149036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86536"/>
        <c:crosses val="autoZero"/>
        <c:crossBetween val="between"/>
      </c:valAx>
      <c:valAx>
        <c:axId val="1267889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25288"/>
        <c:crosses val="max"/>
        <c:crossBetween val="between"/>
      </c:valAx>
      <c:catAx>
        <c:axId val="1296225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889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Debt-to-Income (DTI)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Pivot_Tables!$B$56:$B$57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Pivot_Tables!$B$58:$B$61</c:f>
              <c:numCache>
                <c:formatCode>General</c:formatCode>
                <c:ptCount val="3"/>
                <c:pt idx="0" formatCode="0.00">
                  <c:v>1.2858000000000001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8-42B2-8746-CB13B4DE6B43}"/>
            </c:ext>
          </c:extLst>
        </c:ser>
        <c:ser>
          <c:idx val="1"/>
          <c:order val="1"/>
          <c:tx>
            <c:strRef>
              <c:f>Pivot_Tables!$C$56:$C$57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Pivot_Tables!$C$58:$C$61</c:f>
              <c:numCache>
                <c:formatCode>0.00</c:formatCode>
                <c:ptCount val="3"/>
                <c:pt idx="0">
                  <c:v>1.1076999999999999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88-42B2-8746-CB13B4DE6B43}"/>
            </c:ext>
          </c:extLst>
        </c:ser>
        <c:ser>
          <c:idx val="2"/>
          <c:order val="2"/>
          <c:tx>
            <c:strRef>
              <c:f>Pivot_Tables!$D$56:$D$57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Pivot_Tables!$D$58:$D$61</c:f>
              <c:numCache>
                <c:formatCode>0.00</c:formatCode>
                <c:ptCount val="3"/>
                <c:pt idx="0">
                  <c:v>1.2446999999999999</c:v>
                </c:pt>
                <c:pt idx="1">
                  <c:v>1.2405999999999999</c:v>
                </c:pt>
                <c:pt idx="2">
                  <c:v>1.1935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88-42B2-8746-CB13B4DE6B43}"/>
            </c:ext>
          </c:extLst>
        </c:ser>
        <c:ser>
          <c:idx val="3"/>
          <c:order val="3"/>
          <c:tx>
            <c:strRef>
              <c:f>Pivot_Tables!$E$56:$E$57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Pivot_Tables!$E$58:$E$61</c:f>
              <c:numCache>
                <c:formatCode>0.00</c:formatCode>
                <c:ptCount val="3"/>
                <c:pt idx="0">
                  <c:v>1.1266</c:v>
                </c:pt>
                <c:pt idx="1">
                  <c:v>1.2323999999999999</c:v>
                </c:pt>
                <c:pt idx="2">
                  <c:v>1.2866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8-42B2-8746-CB13B4DE6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3767687"/>
        <c:axId val="573771271"/>
      </c:barChart>
      <c:catAx>
        <c:axId val="57376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71271"/>
        <c:crosses val="autoZero"/>
        <c:auto val="1"/>
        <c:lblAlgn val="ctr"/>
        <c:lblOffset val="100"/>
        <c:noMultiLvlLbl val="0"/>
      </c:catAx>
      <c:valAx>
        <c:axId val="573771271"/>
        <c:scaling>
          <c:orientation val="minMax"/>
          <c:max val="1.5"/>
        </c:scaling>
        <c:delete val="1"/>
        <c:axPos val="b"/>
        <c:numFmt formatCode="0.00" sourceLinked="1"/>
        <c:majorTickMark val="none"/>
        <c:minorTickMark val="none"/>
        <c:tickLblPos val="nextTo"/>
        <c:crossAx val="57376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Transaction Value (USD) by Card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Pivot_Tables!$B$3:$B$4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Pivot_Tables!$B$5:$B$8</c:f>
              <c:numCache>
                <c:formatCode>General</c:formatCode>
                <c:ptCount val="3"/>
                <c:pt idx="0">
                  <c:v>50.72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6-4781-B35C-07F1BD97FBBB}"/>
            </c:ext>
          </c:extLst>
        </c:ser>
        <c:ser>
          <c:idx val="1"/>
          <c:order val="1"/>
          <c:tx>
            <c:strRef>
              <c:f>Pivot_Tables!$C$3:$C$4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Pivot_Tables!$C$5:$C$8</c:f>
              <c:numCache>
                <c:formatCode>General</c:formatCode>
                <c:ptCount val="3"/>
                <c:pt idx="0">
                  <c:v>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6-4781-B35C-07F1BD97FBBB}"/>
            </c:ext>
          </c:extLst>
        </c:ser>
        <c:ser>
          <c:idx val="2"/>
          <c:order val="2"/>
          <c:tx>
            <c:strRef>
              <c:f>Pivot_Tables!$D$3:$D$4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Pivot_Tables!$D$5:$D$8</c:f>
              <c:numCache>
                <c:formatCode>General</c:formatCode>
                <c:ptCount val="3"/>
                <c:pt idx="0">
                  <c:v>49.56</c:v>
                </c:pt>
                <c:pt idx="1">
                  <c:v>39.03</c:v>
                </c:pt>
                <c:pt idx="2">
                  <c:v>19.920000000000002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6-4781-B35C-07F1BD97FBBB}"/>
            </c:ext>
          </c:extLst>
        </c:ser>
        <c:ser>
          <c:idx val="3"/>
          <c:order val="3"/>
          <c:tx>
            <c:strRef>
              <c:f>Pivot_Tables!$E$3:$E$4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Pivot_Tables!$A$5:$A$8</c:f>
              <c:strCache>
                <c:ptCount val="3"/>
                <c:pt idx="0">
                  <c:v>Credit</c:v>
                </c:pt>
                <c:pt idx="1">
                  <c:v>Debit</c:v>
                </c:pt>
                <c:pt idx="2">
                  <c:v>Debit (Prepaid)</c:v>
                </c:pt>
              </c:strCache>
            </c:strRef>
          </c:cat>
          <c:val>
            <c:numRef>
              <c:f>Pivot_Tables!$E$5:$E$8</c:f>
              <c:numCache>
                <c:formatCode>General</c:formatCode>
                <c:ptCount val="3"/>
                <c:pt idx="0">
                  <c:v>53.85</c:v>
                </c:pt>
                <c:pt idx="1">
                  <c:v>39.270000000000003</c:v>
                </c:pt>
                <c:pt idx="2">
                  <c:v>20.12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26-4781-B35C-07F1BD97F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509564936"/>
        <c:axId val="607122952"/>
      </c:barChart>
      <c:catAx>
        <c:axId val="5095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22952"/>
        <c:crosses val="autoZero"/>
        <c:auto val="1"/>
        <c:lblAlgn val="ctr"/>
        <c:lblOffset val="100"/>
        <c:noMultiLvlLbl val="0"/>
      </c:catAx>
      <c:valAx>
        <c:axId val="607122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95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Limit Utilization Rate (%)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noFill/>
          </a:ln>
          <a:effectLst/>
        </c:spPr>
      </c:pivotFmt>
      <c:pivotFmt>
        <c:idx val="5"/>
        <c:spPr>
          <a:solidFill>
            <a:srgbClr val="305496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  <c:pivotFmt>
        <c:idx val="10"/>
        <c:spPr>
          <a:solidFill>
            <a:srgbClr val="FFC000"/>
          </a:solidFill>
          <a:ln>
            <a:noFill/>
          </a:ln>
          <a:effectLst/>
        </c:spPr>
      </c:pivotFmt>
      <c:pivotFmt>
        <c:idx val="11"/>
        <c:spPr>
          <a:solidFill>
            <a:srgbClr val="FFC000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305496"/>
          </a:solidFill>
          <a:ln>
            <a:noFill/>
          </a:ln>
          <a:effectLst/>
        </c:spPr>
      </c:pivotFmt>
      <c:pivotFmt>
        <c:idx val="17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FFC000"/>
          </a:solidFill>
          <a:ln>
            <a:noFill/>
          </a:ln>
          <a:effectLst/>
        </c:spPr>
      </c:pivotFmt>
      <c:pivotFmt>
        <c:idx val="2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0000"/>
          </a:solidFill>
          <a:ln>
            <a:noFill/>
          </a:ln>
          <a:effectLst/>
        </c:spPr>
      </c:pivotFmt>
      <c:pivotFmt>
        <c:idx val="24"/>
        <c:spPr>
          <a:solidFill>
            <a:srgbClr val="305496"/>
          </a:solidFill>
          <a:ln>
            <a:noFill/>
          </a:ln>
          <a:effectLst/>
        </c:spPr>
      </c:pivotFmt>
      <c:pivotFmt>
        <c:idx val="25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</c:pivotFmt>
      <c:pivotFmt>
        <c:idx val="27"/>
        <c:spPr>
          <a:solidFill>
            <a:srgbClr val="FFC000"/>
          </a:solidFill>
          <a:ln>
            <a:noFill/>
          </a:ln>
          <a:effectLst/>
        </c:spPr>
      </c:pivotFmt>
      <c:pivotFmt>
        <c:idx val="2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305496"/>
          </a:solidFill>
          <a:ln>
            <a:noFill/>
          </a:ln>
          <a:effectLst/>
        </c:spPr>
      </c:pivotFmt>
      <c:pivotFmt>
        <c:idx val="3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FF0000"/>
          </a:solidFill>
          <a:ln>
            <a:noFill/>
          </a:ln>
          <a:effectLst/>
        </c:spPr>
      </c:pivotFmt>
      <c:pivotFmt>
        <c:idx val="35"/>
        <c:spPr>
          <a:solidFill>
            <a:srgbClr val="FFC000"/>
          </a:solidFill>
          <a:ln>
            <a:noFill/>
          </a:ln>
          <a:effectLst/>
        </c:spPr>
      </c:pivotFmt>
      <c:pivotFmt>
        <c:idx val="3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0000"/>
          </a:solidFill>
          <a:ln>
            <a:noFill/>
          </a:ln>
          <a:effectLst/>
        </c:spPr>
      </c:pivotFmt>
      <c:pivotFmt>
        <c:idx val="40"/>
        <c:spPr>
          <a:solidFill>
            <a:srgbClr val="305496"/>
          </a:solidFill>
          <a:ln>
            <a:noFill/>
          </a:ln>
          <a:effectLst/>
        </c:spPr>
      </c:pivotFmt>
      <c:pivotFmt>
        <c:idx val="4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>
            <a:noFill/>
          </a:ln>
          <a:effectLst/>
        </c:spPr>
      </c:pivotFmt>
      <c:pivotFmt>
        <c:idx val="43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Pivot_Tables!$B$12:$B$13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Pivot_Tables!$B$14:$B$17</c:f>
              <c:numCache>
                <c:formatCode>General</c:formatCode>
                <c:ptCount val="3"/>
                <c:pt idx="1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6-4355-A046-6AFE4706B5FB}"/>
            </c:ext>
          </c:extLst>
        </c:ser>
        <c:ser>
          <c:idx val="1"/>
          <c:order val="1"/>
          <c:tx>
            <c:strRef>
              <c:f>Pivot_Tables!$C$12:$C$13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Pivot_Tables!$C$14:$C$17</c:f>
              <c:numCache>
                <c:formatCode>General</c:formatCode>
                <c:ptCount val="3"/>
                <c:pt idx="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6-4355-A046-6AFE4706B5FB}"/>
            </c:ext>
          </c:extLst>
        </c:ser>
        <c:ser>
          <c:idx val="2"/>
          <c:order val="2"/>
          <c:tx>
            <c:strRef>
              <c:f>Pivot_Tables!$D$12:$D$13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6-4355-A046-6AFE4706B5F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E76-4355-A046-6AFE4706B5FB}"/>
              </c:ext>
            </c:extLst>
          </c:dPt>
          <c:dPt>
            <c:idx val="2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E76-4355-A046-6AFE4706B5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Pivot_Tables!$D$14:$D$17</c:f>
              <c:numCache>
                <c:formatCode>General</c:formatCode>
                <c:ptCount val="3"/>
                <c:pt idx="0">
                  <c:v>0.21</c:v>
                </c:pt>
                <c:pt idx="1">
                  <c:v>0.43</c:v>
                </c:pt>
                <c:pt idx="2">
                  <c:v>29.47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76-4355-A046-6AFE4706B5FB}"/>
            </c:ext>
          </c:extLst>
        </c:ser>
        <c:ser>
          <c:idx val="3"/>
          <c:order val="3"/>
          <c:tx>
            <c:strRef>
              <c:f>Pivot_Tables!$E$12:$E$13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E76-4355-A046-6AFE4706B5F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E76-4355-A046-6AFE4706B5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Pivot_Tables!$A$14:$A$17</c:f>
              <c:strCache>
                <c:ptCount val="3"/>
                <c:pt idx="0">
                  <c:v>Debit</c:v>
                </c:pt>
                <c:pt idx="1">
                  <c:v>Credit</c:v>
                </c:pt>
                <c:pt idx="2">
                  <c:v>Debit (Prepaid)</c:v>
                </c:pt>
              </c:strCache>
            </c:strRef>
          </c:cat>
          <c:val>
            <c:numRef>
              <c:f>Pivot_Tables!$E$14:$E$17</c:f>
              <c:numCache>
                <c:formatCode>General</c:formatCode>
                <c:ptCount val="3"/>
                <c:pt idx="0">
                  <c:v>0.21</c:v>
                </c:pt>
                <c:pt idx="1">
                  <c:v>0.43</c:v>
                </c:pt>
                <c:pt idx="2">
                  <c:v>30.88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76-4355-A046-6AFE4706B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30"/>
        <c:axId val="327216648"/>
        <c:axId val="453841416"/>
      </c:barChart>
      <c:catAx>
        <c:axId val="327216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416"/>
        <c:crosses val="autoZero"/>
        <c:auto val="1"/>
        <c:lblAlgn val="ctr"/>
        <c:lblOffset val="100"/>
        <c:noMultiLvlLbl val="0"/>
      </c:catAx>
      <c:valAx>
        <c:axId val="453841416"/>
        <c:scaling>
          <c:orientation val="minMax"/>
          <c:max val="35"/>
        </c:scaling>
        <c:delete val="1"/>
        <c:axPos val="b"/>
        <c:numFmt formatCode="General" sourceLinked="1"/>
        <c:majorTickMark val="none"/>
        <c:minorTickMark val="none"/>
        <c:tickLblPos val="nextTo"/>
        <c:crossAx val="3272166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Debt-to-Income (DTI) Ratio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A9DB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Pivot_Tables!$B$56:$B$57</c:f>
              <c:strCache>
                <c:ptCount val="1"/>
                <c:pt idx="0">
                  <c:v>Amex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Pivot_Tables!$B$58:$B$61</c:f>
              <c:numCache>
                <c:formatCode>General</c:formatCode>
                <c:ptCount val="3"/>
                <c:pt idx="0" formatCode="0.00">
                  <c:v>1.2858000000000001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C-49F6-BACA-BA3A221A0868}"/>
            </c:ext>
          </c:extLst>
        </c:ser>
        <c:ser>
          <c:idx val="1"/>
          <c:order val="1"/>
          <c:tx>
            <c:strRef>
              <c:f>Pivot_Tables!$C$56:$C$57</c:f>
              <c:strCache>
                <c:ptCount val="1"/>
                <c:pt idx="0">
                  <c:v>Discover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Pivot_Tables!$C$58:$C$61</c:f>
              <c:numCache>
                <c:formatCode>0.00</c:formatCode>
                <c:ptCount val="3"/>
                <c:pt idx="0">
                  <c:v>1.1076999999999999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C-49F6-BACA-BA3A221A0868}"/>
            </c:ext>
          </c:extLst>
        </c:ser>
        <c:ser>
          <c:idx val="2"/>
          <c:order val="2"/>
          <c:tx>
            <c:strRef>
              <c:f>Pivot_Tables!$D$56:$D$57</c:f>
              <c:strCache>
                <c:ptCount val="1"/>
                <c:pt idx="0">
                  <c:v>Mastercard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Pivot_Tables!$D$58:$D$61</c:f>
              <c:numCache>
                <c:formatCode>0.00</c:formatCode>
                <c:ptCount val="3"/>
                <c:pt idx="0">
                  <c:v>1.2446999999999999</c:v>
                </c:pt>
                <c:pt idx="1">
                  <c:v>1.2405999999999999</c:v>
                </c:pt>
                <c:pt idx="2">
                  <c:v>1.1935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C-49F6-BACA-BA3A221A0868}"/>
            </c:ext>
          </c:extLst>
        </c:ser>
        <c:ser>
          <c:idx val="3"/>
          <c:order val="3"/>
          <c:tx>
            <c:strRef>
              <c:f>Pivot_Tables!$E$56:$E$57</c:f>
              <c:strCache>
                <c:ptCount val="1"/>
                <c:pt idx="0">
                  <c:v>Visa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Pivot_Tables!$A$58:$A$61</c:f>
              <c:strCache>
                <c:ptCount val="3"/>
                <c:pt idx="0">
                  <c:v>Credit</c:v>
                </c:pt>
                <c:pt idx="1">
                  <c:v>Debit (Prepaid)</c:v>
                </c:pt>
                <c:pt idx="2">
                  <c:v>Debit</c:v>
                </c:pt>
              </c:strCache>
            </c:strRef>
          </c:cat>
          <c:val>
            <c:numRef>
              <c:f>Pivot_Tables!$E$58:$E$61</c:f>
              <c:numCache>
                <c:formatCode>0.00</c:formatCode>
                <c:ptCount val="3"/>
                <c:pt idx="0">
                  <c:v>1.1266</c:v>
                </c:pt>
                <c:pt idx="1">
                  <c:v>1.2323999999999999</c:v>
                </c:pt>
                <c:pt idx="2">
                  <c:v>1.2866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C-49F6-BACA-BA3A221A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3767687"/>
        <c:axId val="573771271"/>
      </c:barChart>
      <c:catAx>
        <c:axId val="573767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71271"/>
        <c:crosses val="autoZero"/>
        <c:auto val="1"/>
        <c:lblAlgn val="ctr"/>
        <c:lblOffset val="100"/>
        <c:noMultiLvlLbl val="0"/>
      </c:catAx>
      <c:valAx>
        <c:axId val="573771271"/>
        <c:scaling>
          <c:orientation val="minMax"/>
          <c:max val="1.5"/>
        </c:scaling>
        <c:delete val="1"/>
        <c:axPos val="b"/>
        <c:numFmt formatCode="0.00" sourceLinked="1"/>
        <c:majorTickMark val="none"/>
        <c:minorTickMark val="none"/>
        <c:tickLblPos val="nextTo"/>
        <c:crossAx val="57376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[03_processed_data_final.xlsx]Pivot_Tables!PivotTable2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Health Monitor: Transaction Volume vs.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Pivot_Tables!$C$23</c:f>
              <c:strCache>
                <c:ptCount val="1"/>
                <c:pt idx="0">
                  <c:v>Total Transaction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Pivot_Tables!$A$24:$B$35</c:f>
              <c:multiLvlStrCache>
                <c:ptCount val="8"/>
                <c:lvl>
                  <c:pt idx="0">
                    <c:v>Amex</c:v>
                  </c:pt>
                  <c:pt idx="1">
                    <c:v>Discover</c:v>
                  </c:pt>
                  <c:pt idx="2">
                    <c:v>Mastercard</c:v>
                  </c:pt>
                  <c:pt idx="3">
                    <c:v>Visa</c:v>
                  </c:pt>
                  <c:pt idx="4">
                    <c:v>Mastercard</c:v>
                  </c:pt>
                  <c:pt idx="5">
                    <c:v>Visa</c:v>
                  </c:pt>
                  <c:pt idx="6">
                    <c:v>Mastercard</c:v>
                  </c:pt>
                  <c:pt idx="7">
                    <c:v>Visa</c:v>
                  </c:pt>
                </c:lvl>
                <c:lvl>
                  <c:pt idx="0">
                    <c:v>Credit</c:v>
                  </c:pt>
                  <c:pt idx="4">
                    <c:v>Debit</c:v>
                  </c:pt>
                  <c:pt idx="6">
                    <c:v>Debit (Prepaid)</c:v>
                  </c:pt>
                </c:lvl>
              </c:multiLvlStrCache>
            </c:multiLvlStrRef>
          </c:cat>
          <c:val>
            <c:numRef>
              <c:f>Pivot_Tables!$C$24:$C$35</c:f>
              <c:numCache>
                <c:formatCode>General</c:formatCode>
                <c:ptCount val="8"/>
                <c:pt idx="0">
                  <c:v>9974</c:v>
                </c:pt>
                <c:pt idx="1">
                  <c:v>3744</c:v>
                </c:pt>
                <c:pt idx="2">
                  <c:v>14196</c:v>
                </c:pt>
                <c:pt idx="3">
                  <c:v>17311</c:v>
                </c:pt>
                <c:pt idx="4">
                  <c:v>56284</c:v>
                </c:pt>
                <c:pt idx="5">
                  <c:v>33756</c:v>
                </c:pt>
                <c:pt idx="6">
                  <c:v>7008</c:v>
                </c:pt>
                <c:pt idx="7">
                  <c:v>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D2-B3F8-5B3CB204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3"/>
        <c:axId val="820886536"/>
        <c:axId val="1490366984"/>
      </c:barChart>
      <c:lineChart>
        <c:grouping val="standard"/>
        <c:varyColors val="0"/>
        <c:ser>
          <c:idx val="1"/>
          <c:order val="1"/>
          <c:tx>
            <c:strRef>
              <c:f>Pivot_Tables!$D$23</c:f>
              <c:strCache>
                <c:ptCount val="1"/>
                <c:pt idx="0">
                  <c:v>Error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Pivot_Tables!$A$24:$B$35</c:f>
              <c:multiLvlStrCache>
                <c:ptCount val="8"/>
                <c:lvl>
                  <c:pt idx="0">
                    <c:v>Amex</c:v>
                  </c:pt>
                  <c:pt idx="1">
                    <c:v>Discover</c:v>
                  </c:pt>
                  <c:pt idx="2">
                    <c:v>Mastercard</c:v>
                  </c:pt>
                  <c:pt idx="3">
                    <c:v>Visa</c:v>
                  </c:pt>
                  <c:pt idx="4">
                    <c:v>Mastercard</c:v>
                  </c:pt>
                  <c:pt idx="5">
                    <c:v>Visa</c:v>
                  </c:pt>
                  <c:pt idx="6">
                    <c:v>Mastercard</c:v>
                  </c:pt>
                  <c:pt idx="7">
                    <c:v>Visa</c:v>
                  </c:pt>
                </c:lvl>
                <c:lvl>
                  <c:pt idx="0">
                    <c:v>Credit</c:v>
                  </c:pt>
                  <c:pt idx="4">
                    <c:v>Debit</c:v>
                  </c:pt>
                  <c:pt idx="6">
                    <c:v>Debit (Prepaid)</c:v>
                  </c:pt>
                </c:lvl>
              </c:multiLvlStrCache>
            </c:multiLvlStrRef>
          </c:cat>
          <c:val>
            <c:numRef>
              <c:f>Pivot_Tables!$D$24:$D$35</c:f>
              <c:numCache>
                <c:formatCode>General</c:formatCode>
                <c:ptCount val="8"/>
                <c:pt idx="0">
                  <c:v>1.25</c:v>
                </c:pt>
                <c:pt idx="1">
                  <c:v>1.18</c:v>
                </c:pt>
                <c:pt idx="2">
                  <c:v>1.39</c:v>
                </c:pt>
                <c:pt idx="3">
                  <c:v>1.42</c:v>
                </c:pt>
                <c:pt idx="4">
                  <c:v>1.51</c:v>
                </c:pt>
                <c:pt idx="5">
                  <c:v>1.66</c:v>
                </c:pt>
                <c:pt idx="6">
                  <c:v>0.96</c:v>
                </c:pt>
                <c:pt idx="7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9-43D2-B3F8-5B3CB204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225288"/>
        <c:axId val="1267889160"/>
      </c:lineChart>
      <c:catAx>
        <c:axId val="82088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66984"/>
        <c:crosses val="autoZero"/>
        <c:auto val="1"/>
        <c:lblAlgn val="ctr"/>
        <c:lblOffset val="100"/>
        <c:noMultiLvlLbl val="0"/>
      </c:catAx>
      <c:valAx>
        <c:axId val="149036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86536"/>
        <c:crosses val="autoZero"/>
        <c:crossBetween val="between"/>
      </c:valAx>
      <c:valAx>
        <c:axId val="1267889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25288"/>
        <c:crosses val="max"/>
        <c:crossBetween val="between"/>
      </c:valAx>
      <c:catAx>
        <c:axId val="1296225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7889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1666875</xdr:colOff>
      <xdr:row>14</xdr:row>
      <xdr:rowOff>123825</xdr:rowOff>
    </xdr:from>
    <xdr:to>
      <xdr:col>14</xdr:col>
      <xdr:colOff>57150</xdr:colOff>
      <xdr:row>33</xdr:row>
      <xdr:rowOff>28575</xdr:rowOff>
    </xdr:to>
    <xdr:graphicFrame macro="">
      <xdr:nvGraphicFramePr>
        <xdr:cNvPr id="6" name="Chart 5" descr="Chart type: Clustered Column. 'avg_transaction_value' by 'card_type' and 'card_brand'&#10;&#10;Description automatically generated">
          <a:extLst>
            <a:ext uri="{FF2B5EF4-FFF2-40B4-BE49-F238E27FC236}">
              <a16:creationId xmlns:a16="http://schemas.microsoft.com/office/drawing/2014/main" id="{0384D627-99A4-D680-B6CD-53782F5A249A}"/>
            </a:ext>
            <a:ext uri="{147F2762-F138-4A5C-976F-8EAC2B608ADB}">
              <a16:predDERef xmlns:a16="http://schemas.microsoft.com/office/drawing/2014/main" pred="{376B8EE6-1867-C241-A2BD-4390E4EEA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0</xdr:row>
      <xdr:rowOff>0</xdr:rowOff>
    </xdr:from>
    <xdr:to>
      <xdr:col>12</xdr:col>
      <xdr:colOff>142875</xdr:colOff>
      <xdr:row>14</xdr:row>
      <xdr:rowOff>28575</xdr:rowOff>
    </xdr:to>
    <xdr:graphicFrame macro="">
      <xdr:nvGraphicFramePr>
        <xdr:cNvPr id="7" name="Chart 6" descr="Chart type: Clustered Bar. 'limit_utilization' by 'card_type' and 'card_brand'&#10;&#10;Description automatically generated">
          <a:extLst>
            <a:ext uri="{FF2B5EF4-FFF2-40B4-BE49-F238E27FC236}">
              <a16:creationId xmlns:a16="http://schemas.microsoft.com/office/drawing/2014/main" id="{EADFD8F9-F17D-9AFF-5AEE-161BA99AF243}"/>
            </a:ext>
            <a:ext uri="{147F2762-F138-4A5C-976F-8EAC2B608ADB}">
              <a16:predDERef xmlns:a16="http://schemas.microsoft.com/office/drawing/2014/main" pred="{0384D627-99A4-D680-B6CD-53782F5A2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504825</xdr:colOff>
      <xdr:row>31</xdr:row>
      <xdr:rowOff>133350</xdr:rowOff>
    </xdr:from>
    <xdr:to>
      <xdr:col>8</xdr:col>
      <xdr:colOff>1438275</xdr:colOff>
      <xdr:row>46</xdr:row>
      <xdr:rowOff>19050</xdr:rowOff>
    </xdr:to>
    <xdr:graphicFrame macro="">
      <xdr:nvGraphicFramePr>
        <xdr:cNvPr id="5" name="Chart 4" descr="Chart type: Clustered Column. 'error_rate_percentage' and 'avg_transaction_value' by 'card_brand' and 'card_type'&#10;&#10;Description automatically generated">
          <a:extLst>
            <a:ext uri="{FF2B5EF4-FFF2-40B4-BE49-F238E27FC236}">
              <a16:creationId xmlns:a16="http://schemas.microsoft.com/office/drawing/2014/main" id="{18DF8872-788A-F1EF-3BCA-07FEE03211B9}"/>
            </a:ext>
            <a:ext uri="{147F2762-F138-4A5C-976F-8EAC2B608ADB}">
              <a16:predDERef xmlns:a16="http://schemas.microsoft.com/office/drawing/2014/main" pred="{EADFD8F9-F17D-9AFF-5AEE-161BA99AF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14</xdr:row>
      <xdr:rowOff>85725</xdr:rowOff>
    </xdr:from>
    <xdr:to>
      <xdr:col>8</xdr:col>
      <xdr:colOff>1514475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E5F21-8ABC-4EA0-8D7B-ACE773AB684C}"/>
            </a:ext>
            <a:ext uri="{147F2762-F138-4A5C-976F-8EAC2B608ADB}">
              <a16:predDERef xmlns:a16="http://schemas.microsoft.com/office/drawing/2014/main" pred="{18DF8872-788A-F1EF-3BCA-07FEE0321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104775</xdr:rowOff>
    </xdr:from>
    <xdr:to>
      <xdr:col>8</xdr:col>
      <xdr:colOff>495300</xdr:colOff>
      <xdr:row>18</xdr:row>
      <xdr:rowOff>47625</xdr:rowOff>
    </xdr:to>
    <xdr:graphicFrame macro="">
      <xdr:nvGraphicFramePr>
        <xdr:cNvPr id="2" name="Chart 1" descr="Chart type: Clustered Column. 'avg_transaction_value' by 'card_type' and 'card_brand'&#10;&#10;Description automatically generated">
          <a:extLst>
            <a:ext uri="{FF2B5EF4-FFF2-40B4-BE49-F238E27FC236}">
              <a16:creationId xmlns:a16="http://schemas.microsoft.com/office/drawing/2014/main" id="{2015587A-B48A-4909-AFF3-F0534EB886BA}"/>
            </a:ext>
            <a:ext uri="{147F2762-F138-4A5C-976F-8EAC2B608ADB}">
              <a16:predDERef xmlns:a16="http://schemas.microsoft.com/office/drawing/2014/main" pred="{376B8EE6-1867-C241-A2BD-4390E4EEA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590550</xdr:colOff>
      <xdr:row>19</xdr:row>
      <xdr:rowOff>38100</xdr:rowOff>
    </xdr:from>
    <xdr:to>
      <xdr:col>9</xdr:col>
      <xdr:colOff>409575</xdr:colOff>
      <xdr:row>35</xdr:row>
      <xdr:rowOff>0</xdr:rowOff>
    </xdr:to>
    <xdr:graphicFrame macro="">
      <xdr:nvGraphicFramePr>
        <xdr:cNvPr id="5" name="Chart 4" descr="Chart type: Clustered Bar. 'limit_utilization' by 'card_type' and 'card_brand'&#10;&#10;Description automatically generated">
          <a:extLst>
            <a:ext uri="{FF2B5EF4-FFF2-40B4-BE49-F238E27FC236}">
              <a16:creationId xmlns:a16="http://schemas.microsoft.com/office/drawing/2014/main" id="{8354F55D-6569-4FE0-8117-578B69245B8E}"/>
            </a:ext>
            <a:ext uri="{147F2762-F138-4A5C-976F-8EAC2B608ADB}">
              <a16:predDERef xmlns:a16="http://schemas.microsoft.com/office/drawing/2014/main" pred="{2015587A-B48A-4909-AFF3-F0534EB88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581025</xdr:colOff>
      <xdr:row>19</xdr:row>
      <xdr:rowOff>28575</xdr:rowOff>
    </xdr:from>
    <xdr:to>
      <xdr:col>20</xdr:col>
      <xdr:colOff>28575</xdr:colOff>
      <xdr:row>34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0CF931-3FF4-4218-8B76-3F0265ABDF32}"/>
            </a:ext>
            <a:ext uri="{147F2762-F138-4A5C-976F-8EAC2B608ADB}">
              <a16:predDERef xmlns:a16="http://schemas.microsoft.com/office/drawing/2014/main" pred="{8354F55D-6569-4FE0-8117-578B69245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2</xdr:row>
      <xdr:rowOff>114300</xdr:rowOff>
    </xdr:from>
    <xdr:to>
      <xdr:col>20</xdr:col>
      <xdr:colOff>19050</xdr:colOff>
      <xdr:row>18</xdr:row>
      <xdr:rowOff>9525</xdr:rowOff>
    </xdr:to>
    <xdr:graphicFrame macro="">
      <xdr:nvGraphicFramePr>
        <xdr:cNvPr id="7" name="Chart 6" descr="Chart type: Clustered Column. 'error_rate_percentage' and 'avg_transaction_value' by 'card_brand' and 'card_type'&#10;&#10;Description automatically generated">
          <a:extLst>
            <a:ext uri="{FF2B5EF4-FFF2-40B4-BE49-F238E27FC236}">
              <a16:creationId xmlns:a16="http://schemas.microsoft.com/office/drawing/2014/main" id="{9564DAD7-59E7-4E97-BA61-DC4019FF85C6}"/>
            </a:ext>
            <a:ext uri="{147F2762-F138-4A5C-976F-8EAC2B608ADB}">
              <a16:predDERef xmlns:a16="http://schemas.microsoft.com/office/drawing/2014/main" pred="{080CF931-3FF4-4218-8B76-3F0265ABD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332320601854" createdVersion="8" refreshedVersion="8" minRefreshableVersion="3" recordCount="8" xr:uid="{012FEA3F-27DA-4B2D-9B7A-11E9469E1012}">
  <cacheSource type="worksheet">
    <worksheetSource ref="A1:H9" sheet="Cleaned_SQL_Export"/>
  </cacheSource>
  <cacheFields count="8">
    <cacheField name="card_type" numFmtId="0">
      <sharedItems count="3">
        <s v="Credit"/>
        <s v="Debit"/>
        <s v="Debit (Prepaid)"/>
      </sharedItems>
    </cacheField>
    <cacheField name="card_brand" numFmtId="0">
      <sharedItems count="4">
        <s v="Mastercard"/>
        <s v="Visa"/>
        <s v="Amex"/>
        <s v="Discover"/>
      </sharedItems>
    </cacheField>
    <cacheField name="avg_transaction_value" numFmtId="0">
      <sharedItems containsSemiMixedTypes="0" containsString="0" containsNumber="1" minValue="19.920000000000002" maxValue="54.1"/>
    </cacheField>
    <cacheField name="error_rate_percentage" numFmtId="0">
      <sharedItems containsSemiMixedTypes="0" containsString="0" containsNumber="1" minValue="0.96" maxValue="1.66"/>
    </cacheField>
    <cacheField name="avg_credit_score" numFmtId="0">
      <sharedItems containsSemiMixedTypes="0" containsString="0" containsNumber="1" containsInteger="1" minValue="709" maxValue="727"/>
    </cacheField>
    <cacheField name="avg_dti_ratio" numFmtId="0">
      <sharedItems containsSemiMixedTypes="0" containsString="0" containsNumber="1" minValue="1.1076999999999999" maxValue="1.2866"/>
    </cacheField>
    <cacheField name="limit_utilization" numFmtId="0">
      <sharedItems containsSemiMixedTypes="0" containsString="0" containsNumber="1" minValue="0.21" maxValue="30.88"/>
    </cacheField>
    <cacheField name="total_transaction_count" numFmtId="0">
      <sharedItems containsSemiMixedTypes="0" containsString="0" containsNumber="1" containsInteger="1" minValue="2634" maxValue="56284"/>
    </cacheField>
  </cacheFields>
  <extLst>
    <ext xmlns:x14="http://schemas.microsoft.com/office/spreadsheetml/2009/9/main" uri="{725AE2AE-9491-48be-B2B4-4EB974FC3084}">
      <x14:pivotCacheDefinition pivotCacheId="6563433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49.56"/>
    <n v="1.39"/>
    <n v="727"/>
    <n v="1.2446999999999999"/>
    <n v="0.43"/>
    <n v="14196"/>
  </r>
  <r>
    <x v="1"/>
    <x v="0"/>
    <n v="39.03"/>
    <n v="1.51"/>
    <n v="711"/>
    <n v="1.1935"/>
    <n v="0.21"/>
    <n v="56284"/>
  </r>
  <r>
    <x v="2"/>
    <x v="0"/>
    <n v="19.920000000000002"/>
    <n v="0.96"/>
    <n v="715"/>
    <n v="1.2405999999999999"/>
    <n v="29.47"/>
    <n v="7008"/>
  </r>
  <r>
    <x v="1"/>
    <x v="1"/>
    <n v="39.270000000000003"/>
    <n v="1.66"/>
    <n v="709"/>
    <n v="1.2866"/>
    <n v="0.21"/>
    <n v="33756"/>
  </r>
  <r>
    <x v="2"/>
    <x v="1"/>
    <n v="20.12"/>
    <n v="1.59"/>
    <n v="717"/>
    <n v="1.2323999999999999"/>
    <n v="30.88"/>
    <n v="2634"/>
  </r>
  <r>
    <x v="0"/>
    <x v="1"/>
    <n v="53.85"/>
    <n v="1.42"/>
    <n v="721"/>
    <n v="1.1266"/>
    <n v="0.43"/>
    <n v="17311"/>
  </r>
  <r>
    <x v="0"/>
    <x v="2"/>
    <n v="50.72"/>
    <n v="1.25"/>
    <n v="713"/>
    <n v="1.2858000000000001"/>
    <n v="0.43"/>
    <n v="9974"/>
  </r>
  <r>
    <x v="0"/>
    <x v="3"/>
    <n v="54.1"/>
    <n v="1.18"/>
    <n v="721"/>
    <n v="1.1076999999999999"/>
    <n v="0.49"/>
    <n v="3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BE55B-4884-4EC2-9ADA-852D578CFCB1}" name="PivotTable1" cacheId="6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F8" firstHeaderRow="1" firstDataRow="2" firstDataCol="1"/>
  <pivotFields count="8"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5">
        <item x="2"/>
        <item x="3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vg_transaction_value" fld="2" subtotal="average" baseField="0" baseItem="0"/>
  </dataFields>
  <chartFormats count="5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7259B-3622-4E38-9964-87CD7C142CDA}" name="PivotTable2" cacheId="6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23:D35" firstHeaderRow="0" firstDataRow="1" firstDataCol="2"/>
  <pivotFields count="8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0"/>
    <field x="1"/>
  </rowFields>
  <rowItems count="12">
    <i>
      <x/>
      <x/>
    </i>
    <i r="1">
      <x v="1"/>
    </i>
    <i r="1">
      <x v="2"/>
    </i>
    <i r="1">
      <x v="3"/>
    </i>
    <i t="default">
      <x/>
    </i>
    <i>
      <x v="1"/>
      <x v="2"/>
    </i>
    <i r="1">
      <x v="3"/>
    </i>
    <i t="default">
      <x v="1"/>
    </i>
    <i>
      <x v="2"/>
      <x v="2"/>
    </i>
    <i r="1">
      <x v="3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Transaction Count" fld="7" baseField="0" baseItem="0"/>
    <dataField name="Error Rate (%)" fld="3" baseField="0" baseItem="0"/>
  </dataFields>
  <chartFormats count="13">
    <chartFormat chart="18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57D0-ECD1-497F-890E-D05AC7D437CB}" name="PivotTable3" cacheId="6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56:F61" firstHeaderRow="1" firstDataRow="2" firstDataCol="1"/>
  <pivotFields count="8"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2"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avg_dti_ratio" fld="5" baseField="0" baseItem="0"/>
  </dataFields>
  <formats count="3">
    <format dxfId="0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1">
      <pivotArea grandCol="1" outline="0" collapsedLevelsAreSubtotals="1" fieldPosition="0"/>
    </format>
    <format dxfId="2">
      <pivotArea outline="0" fieldPosition="0">
        <references count="2">
          <reference field="0" count="1" selected="0">
            <x v="0"/>
          </reference>
          <reference field="1" count="1" selected="0">
            <x v="0"/>
          </reference>
        </references>
      </pivotArea>
    </format>
  </formats>
  <chartFormats count="2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82E0A-D8F0-4595-9D96-9DD55A6B5A8C}" name="PivotTable4" cacheId="6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12:F17" firstHeaderRow="1" firstDataRow="2" firstDataCol="1"/>
  <pivotFields count="8">
    <pivotField axis="axisRow" compact="0" outline="0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4">
    <i>
      <x v="1"/>
    </i>
    <i>
      <x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limit_utilization" fld="6" subtotal="average" baseField="0" baseItem="0"/>
  </dataFields>
  <chartFormats count="7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8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9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1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1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9A78-5DE4-4794-B839-FBE071CD3657}">
  <dimension ref="A3:F61"/>
  <sheetViews>
    <sheetView workbookViewId="0">
      <selection activeCell="B58" sqref="B58"/>
    </sheetView>
  </sheetViews>
  <sheetFormatPr defaultRowHeight="15"/>
  <cols>
    <col min="1" max="1" width="25" bestFit="1" customWidth="1"/>
    <col min="2" max="2" width="14.140625" bestFit="1" customWidth="1"/>
    <col min="3" max="3" width="8.42578125" bestFit="1" customWidth="1"/>
    <col min="4" max="5" width="12.28515625" bestFit="1" customWidth="1"/>
    <col min="6" max="6" width="11.42578125" bestFit="1" customWidth="1"/>
    <col min="7" max="7" width="27.7109375" bestFit="1" customWidth="1"/>
    <col min="8" max="8" width="27.85546875" bestFit="1" customWidth="1"/>
    <col min="9" max="9" width="27.7109375" bestFit="1" customWidth="1"/>
    <col min="10" max="10" width="32.85546875" bestFit="1" customWidth="1"/>
    <col min="11" max="11" width="32.7109375" bestFit="1" customWidth="1"/>
  </cols>
  <sheetData>
    <row r="3" spans="1:6">
      <c r="A3" s="1" t="s">
        <v>0</v>
      </c>
      <c r="B3" s="1" t="s">
        <v>1</v>
      </c>
    </row>
    <row r="4" spans="1:6">
      <c r="A4" s="1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2">
        <v>50.72</v>
      </c>
      <c r="C5" s="2">
        <v>54.1</v>
      </c>
      <c r="D5" s="2">
        <v>49.56</v>
      </c>
      <c r="E5" s="2">
        <v>53.85</v>
      </c>
      <c r="F5" s="2">
        <v>52.057499999999997</v>
      </c>
    </row>
    <row r="6" spans="1:6">
      <c r="A6" t="s">
        <v>9</v>
      </c>
      <c r="B6" s="2"/>
      <c r="C6" s="2"/>
      <c r="D6" s="2">
        <v>39.03</v>
      </c>
      <c r="E6" s="2">
        <v>39.270000000000003</v>
      </c>
      <c r="F6" s="2">
        <v>39.150000000000006</v>
      </c>
    </row>
    <row r="7" spans="1:6">
      <c r="A7" t="s">
        <v>10</v>
      </c>
      <c r="B7" s="2"/>
      <c r="C7" s="2"/>
      <c r="D7" s="2">
        <v>19.920000000000002</v>
      </c>
      <c r="E7" s="2">
        <v>20.12</v>
      </c>
      <c r="F7" s="2">
        <v>20.020000000000003</v>
      </c>
    </row>
    <row r="8" spans="1:6">
      <c r="A8" t="s">
        <v>7</v>
      </c>
      <c r="B8" s="2">
        <v>50.72</v>
      </c>
      <c r="C8" s="2">
        <v>54.1</v>
      </c>
      <c r="D8" s="2">
        <v>36.17</v>
      </c>
      <c r="E8" s="2">
        <v>37.74666666666667</v>
      </c>
      <c r="F8" s="2">
        <v>40.821249999999999</v>
      </c>
    </row>
    <row r="12" spans="1:6">
      <c r="A12" s="1" t="s">
        <v>11</v>
      </c>
      <c r="B12" s="1" t="s">
        <v>1</v>
      </c>
    </row>
    <row r="13" spans="1:6">
      <c r="A13" s="1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</row>
    <row r="14" spans="1:6">
      <c r="A14" t="s">
        <v>9</v>
      </c>
      <c r="B14" s="2"/>
      <c r="C14" s="2"/>
      <c r="D14" s="2">
        <v>0.21</v>
      </c>
      <c r="E14" s="2">
        <v>0.21</v>
      </c>
      <c r="F14" s="2">
        <v>0.21</v>
      </c>
    </row>
    <row r="15" spans="1:6">
      <c r="A15" t="s">
        <v>8</v>
      </c>
      <c r="B15" s="2">
        <v>0.43</v>
      </c>
      <c r="C15" s="2">
        <v>0.49</v>
      </c>
      <c r="D15" s="2">
        <v>0.43</v>
      </c>
      <c r="E15" s="2">
        <v>0.43</v>
      </c>
      <c r="F15" s="2">
        <v>0.44499999999999995</v>
      </c>
    </row>
    <row r="16" spans="1:6">
      <c r="A16" t="s">
        <v>10</v>
      </c>
      <c r="B16" s="2"/>
      <c r="C16" s="2"/>
      <c r="D16" s="2">
        <v>29.47</v>
      </c>
      <c r="E16" s="2">
        <v>30.88</v>
      </c>
      <c r="F16" s="2">
        <v>30.174999999999997</v>
      </c>
    </row>
    <row r="17" spans="1:6">
      <c r="A17" t="s">
        <v>7</v>
      </c>
      <c r="B17" s="2">
        <v>0.43</v>
      </c>
      <c r="C17" s="2">
        <v>0.49</v>
      </c>
      <c r="D17" s="2">
        <v>10.036666666666667</v>
      </c>
      <c r="E17" s="2">
        <v>10.506666666666666</v>
      </c>
      <c r="F17" s="2">
        <v>7.8187499999999996</v>
      </c>
    </row>
    <row r="23" spans="1:6">
      <c r="A23" s="1" t="s">
        <v>2</v>
      </c>
      <c r="B23" s="1" t="s">
        <v>1</v>
      </c>
      <c r="C23" t="s">
        <v>12</v>
      </c>
      <c r="D23" t="s">
        <v>13</v>
      </c>
    </row>
    <row r="24" spans="1:6">
      <c r="A24" t="s">
        <v>8</v>
      </c>
      <c r="B24" t="s">
        <v>3</v>
      </c>
      <c r="C24" s="2">
        <v>9974</v>
      </c>
      <c r="D24" s="2">
        <v>1.25</v>
      </c>
    </row>
    <row r="25" spans="1:6">
      <c r="B25" t="s">
        <v>4</v>
      </c>
      <c r="C25" s="2">
        <v>3744</v>
      </c>
      <c r="D25" s="2">
        <v>1.18</v>
      </c>
    </row>
    <row r="26" spans="1:6">
      <c r="B26" t="s">
        <v>5</v>
      </c>
      <c r="C26" s="2">
        <v>14196</v>
      </c>
      <c r="D26" s="2">
        <v>1.39</v>
      </c>
    </row>
    <row r="27" spans="1:6">
      <c r="B27" t="s">
        <v>6</v>
      </c>
      <c r="C27" s="2">
        <v>17311</v>
      </c>
      <c r="D27" s="2">
        <v>1.42</v>
      </c>
    </row>
    <row r="28" spans="1:6">
      <c r="A28" t="s">
        <v>14</v>
      </c>
      <c r="C28" s="2">
        <v>45225</v>
      </c>
      <c r="D28" s="2">
        <v>5.2399999999999993</v>
      </c>
    </row>
    <row r="29" spans="1:6">
      <c r="A29" t="s">
        <v>9</v>
      </c>
      <c r="B29" t="s">
        <v>5</v>
      </c>
      <c r="C29" s="2">
        <v>56284</v>
      </c>
      <c r="D29" s="2">
        <v>1.51</v>
      </c>
    </row>
    <row r="30" spans="1:6">
      <c r="B30" t="s">
        <v>6</v>
      </c>
      <c r="C30" s="2">
        <v>33756</v>
      </c>
      <c r="D30" s="2">
        <v>1.66</v>
      </c>
    </row>
    <row r="31" spans="1:6">
      <c r="A31" t="s">
        <v>15</v>
      </c>
      <c r="C31" s="2">
        <v>90040</v>
      </c>
      <c r="D31" s="2">
        <v>3.17</v>
      </c>
    </row>
    <row r="32" spans="1:6">
      <c r="A32" t="s">
        <v>10</v>
      </c>
      <c r="B32" t="s">
        <v>5</v>
      </c>
      <c r="C32" s="2">
        <v>7008</v>
      </c>
      <c r="D32" s="2">
        <v>0.96</v>
      </c>
    </row>
    <row r="33" spans="1:4">
      <c r="B33" t="s">
        <v>6</v>
      </c>
      <c r="C33" s="2">
        <v>2634</v>
      </c>
      <c r="D33" s="2">
        <v>1.59</v>
      </c>
    </row>
    <row r="34" spans="1:4">
      <c r="A34" t="s">
        <v>16</v>
      </c>
      <c r="C34" s="2">
        <v>9642</v>
      </c>
      <c r="D34" s="2">
        <v>2.5499999999999998</v>
      </c>
    </row>
    <row r="35" spans="1:4">
      <c r="A35" t="s">
        <v>7</v>
      </c>
      <c r="C35" s="2">
        <v>144907</v>
      </c>
      <c r="D35" s="2">
        <v>10.959999999999997</v>
      </c>
    </row>
    <row r="56" spans="1:6">
      <c r="A56" s="1" t="s">
        <v>17</v>
      </c>
      <c r="B56" s="1" t="s">
        <v>1</v>
      </c>
    </row>
    <row r="57" spans="1:6">
      <c r="A57" s="1" t="s">
        <v>2</v>
      </c>
      <c r="B57" t="s">
        <v>3</v>
      </c>
      <c r="C57" t="s">
        <v>4</v>
      </c>
      <c r="D57" t="s">
        <v>5</v>
      </c>
      <c r="E57" t="s">
        <v>6</v>
      </c>
      <c r="F57" t="s">
        <v>7</v>
      </c>
    </row>
    <row r="58" spans="1:6">
      <c r="A58" t="s">
        <v>8</v>
      </c>
      <c r="B58" s="3">
        <v>1.2858000000000001</v>
      </c>
      <c r="C58" s="3">
        <v>1.1076999999999999</v>
      </c>
      <c r="D58" s="3">
        <v>1.2446999999999999</v>
      </c>
      <c r="E58" s="3">
        <v>1.1266</v>
      </c>
      <c r="F58" s="3">
        <v>4.7648000000000001</v>
      </c>
    </row>
    <row r="59" spans="1:6">
      <c r="A59" t="s">
        <v>10</v>
      </c>
      <c r="B59" s="2"/>
      <c r="C59" s="3"/>
      <c r="D59" s="3">
        <v>1.2405999999999999</v>
      </c>
      <c r="E59" s="3">
        <v>1.2323999999999999</v>
      </c>
      <c r="F59" s="3">
        <v>2.4729999999999999</v>
      </c>
    </row>
    <row r="60" spans="1:6">
      <c r="A60" t="s">
        <v>9</v>
      </c>
      <c r="B60" s="2"/>
      <c r="C60" s="3"/>
      <c r="D60" s="3">
        <v>1.1935</v>
      </c>
      <c r="E60" s="3">
        <v>1.2866</v>
      </c>
      <c r="F60" s="3">
        <v>2.4801000000000002</v>
      </c>
    </row>
    <row r="61" spans="1:6">
      <c r="A61" t="s">
        <v>7</v>
      </c>
      <c r="B61" s="2">
        <v>1.2858000000000001</v>
      </c>
      <c r="C61" s="3">
        <v>1.1076999999999999</v>
      </c>
      <c r="D61" s="3">
        <v>3.6787999999999998</v>
      </c>
      <c r="E61" s="3">
        <v>3.6456</v>
      </c>
      <c r="F61" s="3">
        <v>9.7179000000000002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16A-EF8E-4AA9-9D1B-616C76689F50}">
  <dimension ref="C1:T4"/>
  <sheetViews>
    <sheetView showGridLines="0" showRowColHeaders="0" tabSelected="1" workbookViewId="0">
      <selection activeCell="U11" sqref="U11"/>
    </sheetView>
  </sheetViews>
  <sheetFormatPr defaultColWidth="9.140625" defaultRowHeight="15"/>
  <cols>
    <col min="3" max="3" width="36.5703125" bestFit="1" customWidth="1"/>
    <col min="20" max="20" width="9.28515625" customWidth="1"/>
  </cols>
  <sheetData>
    <row r="1" spans="3:20" ht="30.75" customHeight="1">
      <c r="C1" s="5" t="s">
        <v>18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 spans="3:20" ht="30.75" customHeight="1">
      <c r="C2" s="8"/>
      <c r="D2" s="9"/>
      <c r="E2" s="9"/>
      <c r="F2" s="9"/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3:20" ht="15" customHeight="1">
      <c r="C3" s="12" t="str">
        <f>"Avg. Credit Score: "&amp;Cleaned_SQL_Export!I2&amp;"-"&amp;Cleaned_SQL_Export!I3</f>
        <v>Avg. Credit Score: 709-727</v>
      </c>
      <c r="D3" s="13"/>
      <c r="E3" s="16" t="str">
        <f>"Total Transaction: "&amp;Cleaned_SQL_Export!J2</f>
        <v>Total Transaction: 144907</v>
      </c>
      <c r="F3" s="17"/>
      <c r="G3" s="17"/>
      <c r="H3" s="17"/>
      <c r="I3" s="18"/>
    </row>
    <row r="4" spans="3:20" ht="15" customHeight="1">
      <c r="C4" s="14"/>
      <c r="D4" s="15"/>
      <c r="E4" s="19"/>
      <c r="F4" s="20"/>
      <c r="G4" s="20"/>
      <c r="H4" s="20"/>
      <c r="I4" s="21"/>
    </row>
  </sheetData>
  <mergeCells count="3">
    <mergeCell ref="C1:T2"/>
    <mergeCell ref="C3:D4"/>
    <mergeCell ref="E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D802-E147-486D-B662-3827C4C45DE1}">
  <dimension ref="A1:J9"/>
  <sheetViews>
    <sheetView workbookViewId="0">
      <selection activeCell="H11" sqref="H11"/>
    </sheetView>
  </sheetViews>
  <sheetFormatPr defaultRowHeight="15"/>
  <cols>
    <col min="1" max="1" width="14" bestFit="1" customWidth="1"/>
    <col min="2" max="2" width="10.85546875" bestFit="1" customWidth="1"/>
    <col min="3" max="3" width="20.5703125" bestFit="1" customWidth="1"/>
    <col min="4" max="4" width="20.85546875" bestFit="1" customWidth="1"/>
    <col min="5" max="5" width="15.7109375" bestFit="1" customWidth="1"/>
    <col min="6" max="6" width="12.42578125" bestFit="1" customWidth="1"/>
    <col min="7" max="7" width="14.42578125" style="2" bestFit="1" customWidth="1"/>
    <col min="8" max="8" width="22" bestFit="1" customWidth="1"/>
    <col min="9" max="9" width="17.28515625" bestFit="1" customWidth="1"/>
    <col min="10" max="10" width="16" bestFit="1" customWidth="1"/>
  </cols>
  <sheetData>
    <row r="1" spans="1:10">
      <c r="A1" t="s">
        <v>2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s="2" t="s">
        <v>23</v>
      </c>
      <c r="H1" t="s">
        <v>24</v>
      </c>
      <c r="I1" t="s">
        <v>25</v>
      </c>
      <c r="J1" t="s">
        <v>26</v>
      </c>
    </row>
    <row r="2" spans="1:10">
      <c r="A2" t="s">
        <v>8</v>
      </c>
      <c r="B2" t="s">
        <v>5</v>
      </c>
      <c r="C2">
        <v>49.56</v>
      </c>
      <c r="D2">
        <v>1.39</v>
      </c>
      <c r="E2">
        <v>727</v>
      </c>
      <c r="F2">
        <v>1.2446999999999999</v>
      </c>
      <c r="G2" s="2">
        <v>0.43</v>
      </c>
      <c r="H2">
        <v>14196</v>
      </c>
      <c r="I2">
        <f>MIN(E2:E9)</f>
        <v>709</v>
      </c>
      <c r="J2" s="4">
        <f>SUM(H2:H9)</f>
        <v>144907</v>
      </c>
    </row>
    <row r="3" spans="1:10">
      <c r="A3" t="s">
        <v>9</v>
      </c>
      <c r="B3" t="s">
        <v>5</v>
      </c>
      <c r="C3">
        <v>39.03</v>
      </c>
      <c r="D3">
        <v>1.51</v>
      </c>
      <c r="E3">
        <v>711</v>
      </c>
      <c r="F3">
        <v>1.1935</v>
      </c>
      <c r="G3" s="2">
        <v>0.21</v>
      </c>
      <c r="H3">
        <v>56284</v>
      </c>
      <c r="I3">
        <f>MAX(E2:E9)</f>
        <v>727</v>
      </c>
    </row>
    <row r="4" spans="1:10">
      <c r="A4" t="s">
        <v>10</v>
      </c>
      <c r="B4" t="s">
        <v>5</v>
      </c>
      <c r="C4">
        <v>19.920000000000002</v>
      </c>
      <c r="D4">
        <v>0.96</v>
      </c>
      <c r="E4">
        <v>715</v>
      </c>
      <c r="F4">
        <v>1.2405999999999999</v>
      </c>
      <c r="G4" s="2">
        <v>29.47</v>
      </c>
      <c r="H4">
        <v>7008</v>
      </c>
      <c r="I4" t="str">
        <f>I2&amp;"-"&amp;I3</f>
        <v>709-727</v>
      </c>
    </row>
    <row r="5" spans="1:10">
      <c r="A5" t="s">
        <v>9</v>
      </c>
      <c r="B5" t="s">
        <v>6</v>
      </c>
      <c r="C5">
        <v>39.270000000000003</v>
      </c>
      <c r="D5">
        <v>1.66</v>
      </c>
      <c r="E5">
        <v>709</v>
      </c>
      <c r="F5">
        <v>1.2866</v>
      </c>
      <c r="G5" s="2">
        <v>0.21</v>
      </c>
      <c r="H5">
        <v>33756</v>
      </c>
    </row>
    <row r="6" spans="1:10">
      <c r="A6" t="s">
        <v>10</v>
      </c>
      <c r="B6" t="s">
        <v>6</v>
      </c>
      <c r="C6">
        <v>20.12</v>
      </c>
      <c r="D6">
        <v>1.59</v>
      </c>
      <c r="E6">
        <v>717</v>
      </c>
      <c r="F6">
        <v>1.2323999999999999</v>
      </c>
      <c r="G6" s="2">
        <v>30.88</v>
      </c>
      <c r="H6">
        <v>2634</v>
      </c>
    </row>
    <row r="7" spans="1:10">
      <c r="A7" t="s">
        <v>8</v>
      </c>
      <c r="B7" t="s">
        <v>6</v>
      </c>
      <c r="C7">
        <v>53.85</v>
      </c>
      <c r="D7">
        <v>1.42</v>
      </c>
      <c r="E7">
        <v>721</v>
      </c>
      <c r="F7">
        <v>1.1266</v>
      </c>
      <c r="G7" s="2">
        <v>0.43</v>
      </c>
      <c r="H7" s="2">
        <v>17311</v>
      </c>
    </row>
    <row r="8" spans="1:10">
      <c r="A8" t="s">
        <v>8</v>
      </c>
      <c r="B8" t="s">
        <v>3</v>
      </c>
      <c r="C8">
        <v>50.72</v>
      </c>
      <c r="D8">
        <v>1.25</v>
      </c>
      <c r="E8">
        <v>713</v>
      </c>
      <c r="F8">
        <v>1.2858000000000001</v>
      </c>
      <c r="G8" s="2">
        <v>0.43</v>
      </c>
      <c r="H8">
        <v>9974</v>
      </c>
    </row>
    <row r="9" spans="1:10">
      <c r="A9" t="s">
        <v>8</v>
      </c>
      <c r="B9" t="s">
        <v>4</v>
      </c>
      <c r="C9">
        <v>54.1</v>
      </c>
      <c r="D9">
        <v>1.18</v>
      </c>
      <c r="E9">
        <v>721</v>
      </c>
      <c r="F9">
        <v>1.1076999999999999</v>
      </c>
      <c r="G9" s="2">
        <v>0.49</v>
      </c>
      <c r="H9">
        <v>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2026-01-04T02:46:26Z</dcterms:created>
  <dcterms:modified xsi:type="dcterms:W3CDTF">2026-01-06T05:58:23Z</dcterms:modified>
  <cp:category/>
  <cp:contentStatus/>
</cp:coreProperties>
</file>